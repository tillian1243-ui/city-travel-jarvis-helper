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e9f4a7fb5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 Dashboard" sheetId="1" r:id="R0e7f0ee9adec4106"/>
    <x:sheet xmlns:r="http://schemas.openxmlformats.org/officeDocument/2006/relationships" name="People" sheetId="2" r:id="R997dc01a4a5f42f2"/>
    <x:sheet xmlns:r="http://schemas.openxmlformats.org/officeDocument/2006/relationships" name="Places" sheetId="3" r:id="R8e6b10b4b8e04c47"/>
    <x:sheet xmlns:r="http://schemas.openxmlformats.org/officeDocument/2006/relationships" name="Place_Experiences" sheetId="4" r:id="Ref60bab7f7db4a72"/>
    <x:sheet xmlns:r="http://schemas.openxmlformats.org/officeDocument/2006/relationships" name="Experience_Ratings" sheetId="5" r:id="Ra2851b50c6af4adb"/>
    <x:sheet xmlns:r="http://schemas.openxmlformats.org/officeDocument/2006/relationships" name="Experience_Items" sheetId="6" r:id="Rffad4396da5a4b9e"/>
    <x:sheet xmlns:r="http://schemas.openxmlformats.org/officeDocument/2006/relationships" name="Place_Signals" sheetId="7" r:id="Rd8816bdfa63042f0"/>
    <x:sheet xmlns:r="http://schemas.openxmlformats.org/officeDocument/2006/relationships" name="City_Preferences" sheetId="8" r:id="Rd8ebf33e9a6d4b37"/>
    <x:sheet xmlns:r="http://schemas.openxmlformats.org/officeDocument/2006/relationships" name="Cycling_Profiles" sheetId="9" r:id="R60c5a33ebbad421a"/>
    <x:sheet xmlns:r="http://schemas.openxmlformats.org/officeDocument/2006/relationships" name="Trips" sheetId="10" r:id="Raca19ef897b64c92"/>
    <x:sheet xmlns:r="http://schemas.openxmlformats.org/officeDocument/2006/relationships" name="Trip_Days" sheetId="11" r:id="R3e3c496cce1646c0"/>
    <x:sheet xmlns:r="http://schemas.openxmlformats.org/officeDocument/2006/relationships" name="Itinerary_Items" sheetId="12" r:id="R36b853b5a4814df4"/>
    <x:sheet xmlns:r="http://schemas.openxmlformats.org/officeDocument/2006/relationships" name="Routes" sheetId="13" r:id="R8c8b108157064138"/>
    <x:sheet xmlns:r="http://schemas.openxmlformats.org/officeDocument/2006/relationships" name="Route_Points" sheetId="14" r:id="Recb0d3c1284545bb"/>
    <x:sheet xmlns:r="http://schemas.openxmlformats.org/officeDocument/2006/relationships" name="Events" sheetId="15" r:id="Rdf59bc7b0df443cd"/>
    <x:sheet xmlns:r="http://schemas.openxmlformats.org/officeDocument/2006/relationships" name="City_Rules" sheetId="16" r:id="R427addcdabdb4395"/>
    <x:sheet xmlns:r="http://schemas.openxmlformats.org/officeDocument/2006/relationships" name="Trip_Journal" sheetId="17" r:id="R127375439c3f4fbd"/>
    <x:sheet xmlns:r="http://schemas.openxmlformats.org/officeDocument/2006/relationships" name="Maturity_Test_Log" sheetId="18" r:id="R65063c5358ce477f"/>
    <x:sheet xmlns:r="http://schemas.openxmlformats.org/officeDocument/2006/relationships" name="Search_History" sheetId="19" r:id="R8f8dfb010c044098"/>
    <x:sheet xmlns:r="http://schemas.openxmlformats.org/officeDocument/2006/relationships" name="Write_Log" sheetId="20" r:id="R50e419b078be45c8"/>
    <x:sheet xmlns:r="http://schemas.openxmlformats.org/officeDocument/2006/relationships" name="Data_Quality" sheetId="21" r:id="R3c40d647d49344fb"/>
    <x:sheet xmlns:r="http://schemas.openxmlformats.org/officeDocument/2006/relationships" name="City_Config" sheetId="22" r:id="Rffa62609a3094fff"/>
    <x:sheet xmlns:r="http://schemas.openxmlformats.org/officeDocument/2006/relationships" name="Capability_Maturity" sheetId="23" r:id="R4be4d07a4ffe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ill>
        <x:patternFill>
          <x:bgColor rgb="FFD8F3DC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9e0611183479f" /><Relationship Type="http://schemas.openxmlformats.org/officeDocument/2006/relationships/theme" Target="/xl/theme/theme1.xml" Id="R2f3d304f70974047" /><Relationship Type="http://schemas.microsoft.com/office/2022/11/relationships/FeaturePropertyBag" Target="/xl/featurePropertyBag/featurePropertyBag.xml" Id="Rc05fdceef9cf4e09" /><Relationship Type="http://schemas.openxmlformats.org/officeDocument/2006/relationships/sharedStrings" Target="/xl/sharedStrings.xml" Id="R7c46149d332149e9" /><Relationship Type="http://schemas.openxmlformats.org/officeDocument/2006/relationships/worksheet" Target="/xl/worksheets/sheet1.xml" Id="R0e7f0ee9adec4106" /><Relationship Type="http://schemas.openxmlformats.org/officeDocument/2006/relationships/worksheet" Target="/xl/worksheets/sheet2.xml" Id="R997dc01a4a5f42f2" /><Relationship Type="http://schemas.openxmlformats.org/officeDocument/2006/relationships/worksheet" Target="/xl/worksheets/sheet3.xml" Id="R8e6b10b4b8e04c47" /><Relationship Type="http://schemas.openxmlformats.org/officeDocument/2006/relationships/worksheet" Target="/xl/worksheets/sheet4.xml" Id="Ref60bab7f7db4a72" /><Relationship Type="http://schemas.openxmlformats.org/officeDocument/2006/relationships/worksheet" Target="/xl/worksheets/sheet5.xml" Id="Ra2851b50c6af4adb" /><Relationship Type="http://schemas.openxmlformats.org/officeDocument/2006/relationships/worksheet" Target="/xl/worksheets/sheet6.xml" Id="Rffad4396da5a4b9e" /><Relationship Type="http://schemas.openxmlformats.org/officeDocument/2006/relationships/worksheet" Target="/xl/worksheets/sheet7.xml" Id="Rd8816bdfa63042f0" /><Relationship Type="http://schemas.openxmlformats.org/officeDocument/2006/relationships/worksheet" Target="/xl/worksheets/sheet8.xml" Id="Rd8ebf33e9a6d4b37" /><Relationship Type="http://schemas.openxmlformats.org/officeDocument/2006/relationships/worksheet" Target="/xl/worksheets/sheet9.xml" Id="R60c5a33ebbad421a" /><Relationship Type="http://schemas.openxmlformats.org/officeDocument/2006/relationships/worksheet" Target="/xl/worksheets/sheet10.xml" Id="Raca19ef897b64c92" /><Relationship Type="http://schemas.openxmlformats.org/officeDocument/2006/relationships/worksheet" Target="/xl/worksheets/sheet11.xml" Id="R3e3c496cce1646c0" /><Relationship Type="http://schemas.openxmlformats.org/officeDocument/2006/relationships/worksheet" Target="/xl/worksheets/sheet12.xml" Id="R36b853b5a4814df4" /><Relationship Type="http://schemas.openxmlformats.org/officeDocument/2006/relationships/worksheet" Target="/xl/worksheets/sheet13.xml" Id="R8c8b108157064138" /><Relationship Type="http://schemas.openxmlformats.org/officeDocument/2006/relationships/worksheet" Target="/xl/worksheets/sheet14.xml" Id="Recb0d3c1284545bb" /><Relationship Type="http://schemas.openxmlformats.org/officeDocument/2006/relationships/worksheet" Target="/xl/worksheets/sheet15.xml" Id="Rdf59bc7b0df443cd" /><Relationship Type="http://schemas.openxmlformats.org/officeDocument/2006/relationships/worksheet" Target="/xl/worksheets/sheet16.xml" Id="R427addcdabdb4395" /><Relationship Type="http://schemas.openxmlformats.org/officeDocument/2006/relationships/worksheet" Target="/xl/worksheets/sheet17.xml" Id="R127375439c3f4fbd" /><Relationship Type="http://schemas.openxmlformats.org/officeDocument/2006/relationships/worksheet" Target="/xl/worksheets/sheet18.xml" Id="R65063c5358ce477f" /><Relationship Type="http://schemas.openxmlformats.org/officeDocument/2006/relationships/worksheet" Target="/xl/worksheets/sheet19.xml" Id="R8f8dfb010c044098" /><Relationship Type="http://schemas.openxmlformats.org/officeDocument/2006/relationships/worksheet" Target="/xl/worksheets/sheet20.xml" Id="R50e419b078be45c8" /><Relationship Type="http://schemas.openxmlformats.org/officeDocument/2006/relationships/worksheet" Target="/xl/worksheets/sheet21.xml" Id="R3c40d647d49344fb" /><Relationship Type="http://schemas.openxmlformats.org/officeDocument/2006/relationships/worksheet" Target="/xl/worksheets/sheet22.xml" Id="Rffa62609a3094fff" /><Relationship Type="http://schemas.openxmlformats.org/officeDocument/2006/relationships/worksheet" Target="/xl/worksheets/sheet23.xml" Id="R4be4d07a4ffe48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</x:cols>
  <x:sheetData>
    <x:row r="1">
      <x:c r="A1" s="3" t="str">
        <x:v>CITY &amp; TRAVEL JARVIS · DASHBOARD</x:v>
      </x:c>
      <x:c r="B1" s="3"/>
      <x:c r="C1" s="3"/>
      <x:c r="D1" s="3"/>
      <x:c r="E1" s="3"/>
      <x:c r="F1" s="3"/>
      <x:c r="G1" s="3"/>
      <x:c r="H1" s="3"/>
    </x:row>
    <x:row r="3">
      <x:c r="A3" s="9" t="str">
        <x:v>Показатель</x:v>
      </x:c>
      <x:c r="B3" s="9" t="str">
        <x:v>Значение</x:v>
      </x:c>
      <x:c r="D3" s="9" t="str">
        <x:v>Память: solo и couple раздельно; Andrew и Katya имеют отдельные оценки; запись только preview → confirm → commit.</x:v>
      </x:c>
      <x:c r="E3" s="9"/>
      <x:c r="F3" s="9"/>
      <x:c r="G3" s="9"/>
      <x:c r="H3" s="9"/>
    </x:row>
    <x:row r="4">
      <x:c r="A4" t="str">
        <x:v>Сохранено мест</x:v>
      </x:c>
      <x:c r="B4" t="n">
        <x:f>MAX(COUNTA(Places!A:A)-2,0)</x:f>
        <x:v>0</x:v>
      </x:c>
      <x:c r="D4" s="14"/>
      <x:c r="E4" s="14"/>
      <x:c r="F4" s="14"/>
      <x:c r="G4" s="14"/>
      <x:c r="H4" s="14"/>
    </x:row>
    <x:row r="5">
      <x:c r="A5" t="str">
        <x:v>Посещений</x:v>
      </x:c>
      <x:c r="B5" t="n">
        <x:f>MAX(COUNTA(Place_Experiences!A:A)-2,0)</x:f>
        <x:v>0</x:v>
      </x:c>
      <x:c r="D5" s="14"/>
      <x:c r="E5" s="14"/>
      <x:c r="F5" s="14"/>
      <x:c r="G5" s="14"/>
      <x:c r="H5" s="14"/>
    </x:row>
    <x:row r="6">
      <x:c r="A6" t="str">
        <x:v>Средняя оценка Andrew</x:v>
      </x:c>
      <x:c r="B6" t="n">
        <x:f>IFERROR(AVERAGEIF(Experience_Ratings!C:C,"P-ANDREW",Experience_Ratings!D:D),0)</x:f>
        <x:v>0</x:v>
      </x:c>
      <x:c r="D6" s="14"/>
      <x:c r="E6" s="14"/>
      <x:c r="F6" s="14"/>
      <x:c r="G6" s="14"/>
      <x:c r="H6" s="14"/>
    </x:row>
    <x:row r="7">
      <x:c r="A7" t="str">
        <x:v>Средняя оценка Katya</x:v>
      </x:c>
      <x:c r="B7" t="n">
        <x:f>IFERROR(AVERAGEIF(Experience_Ratings!C:C,"P-KATYA",Experience_Ratings!D:D),0)</x:f>
        <x:v>0</x:v>
      </x:c>
    </x:row>
    <x:row r="8">
      <x:c r="A8" t="str">
        <x:v>Поездок</x:v>
      </x:c>
      <x:c r="B8" t="n">
        <x:f>MAX(COUNTA(Trips!A:A)-2,0)</x:f>
        <x:v>0</x:v>
      </x:c>
    </x:row>
    <x:row r="9">
      <x:c r="A9" t="str">
        <x:v>Маршрутов</x:v>
      </x:c>
      <x:c r="B9" t="n">
        <x:f>MAX(COUNTA(Routes!A:A)-2,0)</x:f>
        <x:v>0</x:v>
      </x:c>
    </x:row>
    <x:row r="10">
      <x:c r="A10" t="str">
        <x:v>STABLE</x:v>
      </x:c>
      <x:c r="B10" t="n">
        <x:f>COUNTIF(Capability_Maturity!C:C,"STABLE")</x:f>
        <x:v>17</x:v>
      </x:c>
    </x:row>
    <x:row r="11">
      <x:c r="A11" t="str">
        <x:v>BETA</x:v>
      </x:c>
      <x:c r="B11" t="n">
        <x:f>COUNTIF(Capability_Maturity!C:C,"BETA")</x:f>
        <x:v>9</x:v>
      </x:c>
    </x:row>
    <x:row r="12">
      <x:c r="A12" t="str">
        <x:v>ADVISORY</x:v>
      </x:c>
      <x:c r="B12" t="n">
        <x:f>COUNTIF(Capability_Maturity!C:C,"ADVISORY")</x:f>
        <x:v>3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3" t="str">
        <x:v>People</x:v>
      </x:c>
      <x:c r="B1" s="3"/>
      <x:c r="C1" s="3"/>
      <x:c r="D1" s="3"/>
      <x:c r="E1" s="3"/>
    </x:row>
    <x:row r="2">
      <x:c r="A2" s="9" t="str">
        <x:v>PersonID</x:v>
      </x:c>
      <x:c r="B2" s="9" t="str">
        <x:v>DisplayName</x:v>
      </x:c>
      <x:c r="C2" s="9" t="str">
        <x:v>Role</x:v>
      </x:c>
      <x:c r="D2" s="9" t="str">
        <x:v>Active</x:v>
      </x:c>
      <x:c r="E2" s="9" t="str">
        <x:v>Notes</x:v>
      </x:c>
    </x:row>
    <x:row r="3">
      <x:c r="A3" s="14" t="str">
        <x:v>P-ANDREW</x:v>
      </x:c>
      <x:c r="B3" s="14" t="str">
        <x:v>Andrew</x:v>
      </x:c>
      <x:c r="C3" s="14" t="str">
        <x:v>owner</x:v>
      </x:c>
      <x:c r="D3" s="18" t="b">
        <x:v>1</x:v>
      </x:c>
      <x:c r="E3" s="14" t="str">
        <x:v>Основной пользователь</x:v>
      </x:c>
    </x:row>
    <x:row r="4">
      <x:c r="A4" s="14" t="str">
        <x:v>P-KATYA</x:v>
      </x:c>
      <x:c r="B4" s="14" t="str">
        <x:v>Katya</x:v>
      </x:c>
      <x:c r="C4" s="14" t="str">
        <x:v>partner</x:v>
      </x:c>
      <x:c r="D4" s="18" t="b">
        <x:v>1</x:v>
      </x:c>
      <x:c r="E4" s="14" t="str">
        <x:v>Катя; отдельные оценки совместных посещений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0" customHeight="1">
      <x:c r="A1" s="3" t="str">
        <x:v>Places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9" t="str">
        <x:v>PlaceID</x:v>
      </x:c>
      <x:c r="B2" s="9" t="str">
        <x:v>Name</x:v>
      </x:c>
      <x:c r="C2" s="9" t="str">
        <x:v>Type</x:v>
      </x:c>
      <x:c r="D2" s="9" t="str">
        <x:v>City</x:v>
      </x:c>
      <x:c r="E2" s="9" t="str">
        <x:v>Address</x:v>
      </x:c>
      <x:c r="F2" s="9" t="str">
        <x:v>Latitude</x:v>
      </x:c>
      <x:c r="G2" s="9" t="str">
        <x:v>Longitude</x:v>
      </x:c>
      <x:c r="H2" s="9" t="str">
        <x:v>Website</x:v>
      </x:c>
      <x:c r="I2" s="9" t="str">
        <x:v>Status</x:v>
      </x:c>
      <x:c r="J2" s="9" t="str">
        <x:v>PriceLevel</x:v>
      </x:c>
      <x:c r="K2" s="9" t="str">
        <x:v>LastCheckedAt</x:v>
      </x:c>
      <x:c r="L2" s="9" t="str">
        <x:v>SourceURL</x:v>
      </x:c>
      <x:c r="M2" s="9" t="str">
        <x:v>SourceType</x:v>
      </x:c>
      <x:c r="N2" s="9" t="str">
        <x:v>Confidence</x:v>
      </x:c>
      <x:c r="O2" s="9" t="str">
        <x:v>CreatedAt</x:v>
      </x:c>
      <x:c r="P2" s="9" t="str">
        <x:v>UpdatedAt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Place Experiences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9" t="str">
        <x:v>ExperienceID</x:v>
      </x:c>
      <x:c r="B2" s="9" t="str">
        <x:v>PlaceID</x:v>
      </x:c>
      <x:c r="C2" s="9" t="str">
        <x:v>VisitDate</x:v>
      </x:c>
      <x:c r="D2" s="9" t="str">
        <x:v>Context</x:v>
      </x:c>
      <x:c r="E2" s="9" t="str">
        <x:v>Party</x:v>
      </x:c>
      <x:c r="F2" s="9" t="str">
        <x:v>TripID</x:v>
      </x:c>
      <x:c r="G2" s="9" t="str">
        <x:v>SpendAmount</x:v>
      </x:c>
      <x:c r="H2" s="9" t="str">
        <x:v>Currency</x:v>
      </x:c>
      <x:c r="I2" s="9" t="str">
        <x:v>OverallNote</x:v>
      </x:c>
      <x:c r="J2" s="9" t="str">
        <x:v>CreatedAt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3" t="str">
        <x:v>Experience Ratings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9" t="str">
        <x:v>RatingID</x:v>
      </x:c>
      <x:c r="B2" s="9" t="str">
        <x:v>ExperienceID</x:v>
      </x:c>
      <x:c r="C2" s="9" t="str">
        <x:v>PersonID</x:v>
      </x:c>
      <x:c r="D2" s="9" t="str">
        <x:v>OverallRating</x:v>
      </x:c>
      <x:c r="E2" s="9" t="str">
        <x:v>WouldReturn</x:v>
      </x:c>
      <x:c r="F2" s="9" t="str">
        <x:v>FoodRating</x:v>
      </x:c>
      <x:c r="G2" s="9" t="str">
        <x:v>AtmosphereRating</x:v>
      </x:c>
      <x:c r="H2" s="9" t="str">
        <x:v>ServiceRating</x:v>
      </x:c>
      <x:c r="I2" s="9" t="str">
        <x:v>ValueRating</x:v>
      </x:c>
      <x:c r="J2" s="9" t="str">
        <x:v>BestPart</x:v>
      </x:c>
      <x:c r="K2" s="9" t="str">
        <x:v>WorstPart</x:v>
      </x:c>
      <x:c r="L2" s="9" t="str">
        <x:v>Comment</x:v>
      </x:c>
      <x:c r="M2" s="9" t="str">
        <x:v>CreatedAt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Experience Items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9" t="str">
        <x:v>ItemID</x:v>
      </x:c>
      <x:c r="B2" s="9" t="str">
        <x:v>ExperienceID</x:v>
      </x:c>
      <x:c r="C2" s="9" t="str">
        <x:v>PersonID</x:v>
      </x:c>
      <x:c r="D2" s="9" t="str">
        <x:v>ItemName</x:v>
      </x:c>
      <x:c r="E2" s="9" t="str">
        <x:v>ItemType</x:v>
      </x:c>
      <x:c r="F2" s="9" t="str">
        <x:v>Price</x:v>
      </x:c>
      <x:c r="G2" s="9" t="str">
        <x:v>Rating</x:v>
      </x:c>
      <x:c r="H2" s="9" t="str">
        <x:v>WouldOrderAgain</x:v>
      </x:c>
      <x:c r="I2" s="9" t="str">
        <x:v>Comment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Place Signals</x:v>
      </x:c>
      <x:c r="B1" s="3"/>
      <x:c r="C1" s="3"/>
      <x:c r="D1" s="3"/>
      <x:c r="E1" s="3"/>
      <x:c r="F1" s="3"/>
      <x:c r="G1" s="3"/>
      <x:c r="H1" s="3"/>
    </x:row>
    <x:row r="2">
      <x:c r="A2" s="9" t="str">
        <x:v>SignalID</x:v>
      </x:c>
      <x:c r="B2" s="9" t="str">
        <x:v>PlaceID</x:v>
      </x:c>
      <x:c r="C2" s="9" t="str">
        <x:v>PersonID</x:v>
      </x:c>
      <x:c r="D2" s="9" t="str">
        <x:v>Signal</x:v>
      </x:c>
      <x:c r="E2" s="9" t="str">
        <x:v>Value</x:v>
      </x:c>
      <x:c r="F2" s="9" t="str">
        <x:v>Confidence</x:v>
      </x:c>
      <x:c r="G2" s="9" t="str">
        <x:v>Source</x:v>
      </x:c>
      <x:c r="H2" s="9" t="str">
        <x:v>CreatedAt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City Preferences</x:v>
      </x:c>
      <x:c r="B1" s="3"/>
      <x:c r="C1" s="3"/>
      <x:c r="D1" s="3"/>
      <x:c r="E1" s="3"/>
      <x:c r="F1" s="3"/>
      <x:c r="G1" s="3"/>
      <x:c r="H1" s="3"/>
    </x:row>
    <x:row r="2">
      <x:c r="A2" s="9" t="str">
        <x:v>PreferenceID</x:v>
      </x:c>
      <x:c r="B2" s="9" t="str">
        <x:v>PersonID</x:v>
      </x:c>
      <x:c r="C2" s="9" t="str">
        <x:v>Scope</x:v>
      </x:c>
      <x:c r="D2" s="9" t="str">
        <x:v>Key</x:v>
      </x:c>
      <x:c r="E2" s="9" t="str">
        <x:v>Value</x:v>
      </x:c>
      <x:c r="F2" s="9" t="str">
        <x:v>Weight</x:v>
      </x:c>
      <x:c r="G2" s="9" t="str">
        <x:v>Notes</x:v>
      </x:c>
      <x:c r="H2" s="9" t="str">
        <x:v>Active</x:v>
      </x:c>
    </x:row>
    <x:row r="3">
      <x:c r="A3" s="14" t="str">
        <x:v>PREF-1</x:v>
      </x:c>
      <x:c r="B3" s="14" t="str">
        <x:v>P-ANDREW</x:v>
      </x:c>
      <x:c r="C3" s="14" t="str">
        <x:v>travel</x:v>
      </x:c>
      <x:c r="D3" s="14" t="str">
        <x:v>avoid_home_city_chains</x:v>
      </x:c>
      <x:c r="E3" s="18" t="b">
        <x:v>1</x:v>
      </x:c>
      <x:c r="F3" s="14" t="n">
        <x:v>10</x:v>
      </x:c>
      <x:c r="G3" s="14" t="str">
        <x:v>В поездках избегать сетей из Москвы</x:v>
      </x:c>
      <x:c r="H3" s="18" t="b">
        <x:v>1</x:v>
      </x:c>
    </x:row>
    <x:row r="4">
      <x:c r="A4" s="14" t="str">
        <x:v>PREF-2</x:v>
      </x:c>
      <x:c r="B4" s="14" t="str">
        <x:v>P-ANDREW</x:v>
      </x:c>
      <x:c r="C4" s="14" t="str">
        <x:v>solo</x:v>
      </x:c>
      <x:c r="D4" s="14" t="str">
        <x:v>price_sensitivity</x:v>
      </x:c>
      <x:c r="E4" s="14" t="str">
        <x:v>high</x:v>
      </x:c>
      <x:c r="F4" s="14" t="n">
        <x:v>8</x:v>
      </x:c>
      <x:c r="G4" s="14" t="str">
        <x:v>Не предлагать дорогой ресторан одному без причины</x:v>
      </x:c>
      <x:c r="H4" s="18" t="b">
        <x:v>1</x:v>
      </x:c>
    </x:row>
    <x:row r="5">
      <x:c r="A5" s="14" t="str">
        <x:v>PREF-3</x:v>
      </x:c>
      <x:c r="B5" s="14" t="str">
        <x:v>P-ANDREW</x:v>
      </x:c>
      <x:c r="C5" s="14" t="str">
        <x:v>photowalk</x:v>
      </x:c>
      <x:c r="D5" s="14" t="str">
        <x:v>visual_style</x:v>
      </x:c>
      <x:c r="E5" s="14" t="str">
        <x:v>contrast, shadows, living city</x:v>
      </x:c>
      <x:c r="F5" s="14" t="n">
        <x:v>10</x:v>
      </x:c>
      <x:c r="G5" s="14" t="str">
        <x:v>Москва через атмосферу Фандорина</x:v>
      </x:c>
      <x:c r="H5" s="18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3" t="str">
        <x:v>Cycling Profiles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9" t="str">
        <x:v>ProfileID</x:v>
      </x:c>
      <x:c r="B2" s="9" t="str">
        <x:v>Name</x:v>
      </x:c>
      <x:c r="C2" s="9" t="str">
        <x:v>Bike</x:v>
      </x:c>
      <x:c r="D2" s="9" t="str">
        <x:v>DefaultStart</x:v>
      </x:c>
      <x:c r="E2" s="9" t="str">
        <x:v>PaceMinKmh</x:v>
      </x:c>
      <x:c r="F2" s="9" t="str">
        <x:v>PaceMaxKmh</x:v>
      </x:c>
      <x:c r="G2" s="9" t="str">
        <x:v>DurationMin</x:v>
      </x:c>
      <x:c r="H2" s="9" t="str">
        <x:v>DurationMax</x:v>
      </x:c>
      <x:c r="I2" s="9" t="str">
        <x:v>TrafficTolerance</x:v>
      </x:c>
      <x:c r="J2" s="9" t="str">
        <x:v>SurfacePreference</x:v>
      </x:c>
      <x:c r="K2" s="9" t="str">
        <x:v>AvoidStairs</x:v>
      </x:c>
      <x:c r="L2" s="9" t="str">
        <x:v>AvoidRails</x:v>
      </x:c>
      <x:c r="M2" s="9" t="str">
        <x:v>Notes</x:v>
      </x:c>
      <x:c r="N2" s="9" t="str">
        <x:v>Active</x:v>
      </x:c>
    </x:row>
    <x:row r="3">
      <x:c r="A3" s="14" t="str">
        <x:v>CYC-CHILL</x:v>
      </x:c>
      <x:c r="B3" s="14" t="str">
        <x:v>Chill Moscow</x:v>
      </x:c>
      <x:c r="C3" s="14" t="str">
        <x:v>Stern Motion 4.0</x:v>
      </x:c>
      <x:c r="D3" s="14" t="str">
        <x:v>ЖК Символ</x:v>
      </x:c>
      <x:c r="E3" s="14" t="n">
        <x:v>12</x:v>
      </x:c>
      <x:c r="F3" s="14" t="n">
        <x:v>15</x:v>
      </x:c>
      <x:c r="G3" s="14" t="n">
        <x:v>60</x:v>
      </x:c>
      <x:c r="H3" s="14" t="n">
        <x:v>80</x:v>
      </x:c>
      <x:c r="I3" s="14" t="str">
        <x:v>low</x:v>
      </x:c>
      <x:c r="J3" s="14" t="str">
        <x:v>asphalt; limited compact ground</x:v>
      </x:c>
      <x:c r="K3" s="18" t="b">
        <x:v>1</x:v>
      </x:c>
      <x:c r="L3" s="18" t="b">
        <x:v>1</x:v>
      </x:c>
      <x:c r="M3" s="14" t="str">
        <x:v>Спокойная поездка без жести</x:v>
      </x:c>
      <x:c r="N3" s="18" t="b">
        <x:v>1</x:v>
      </x:c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0" customHeight="1">
      <x:c r="A1" s="3" t="str">
        <x:v>Trips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9" t="str">
        <x:v>TripID</x:v>
      </x:c>
      <x:c r="B2" s="9" t="str">
        <x:v>Title</x:v>
      </x:c>
      <x:c r="C2" s="9" t="str">
        <x:v>City</x:v>
      </x:c>
      <x:c r="D2" s="9" t="str">
        <x:v>StartDate</x:v>
      </x:c>
      <x:c r="E2" s="9" t="str">
        <x:v>EndDate</x:v>
      </x:c>
      <x:c r="F2" s="9" t="str">
        <x:v>Status</x:v>
      </x:c>
      <x:c r="G2" s="9" t="str">
        <x:v>BaseArea</x:v>
      </x:c>
      <x:c r="H2" s="9" t="str">
        <x:v>Lodging</x:v>
      </x:c>
      <x:c r="I2" s="9" t="str">
        <x:v>Purpose</x:v>
      </x:c>
      <x:c r="J2" s="9" t="str">
        <x:v>Budget</x:v>
      </x:c>
      <x:c r="K2" s="9" t="str">
        <x:v>Pace</x:v>
      </x:c>
      <x:c r="L2" s="9" t="str">
        <x:v>Party</x:v>
      </x:c>
      <x:c r="M2" s="9" t="str">
        <x:v>PrimaryMode</x:v>
      </x:c>
      <x:c r="N2" s="9" t="str">
        <x:v>Notes</x:v>
      </x:c>
      <x:c r="O2" s="9" t="str">
        <x:v>CreatedAt</x:v>
      </x:c>
      <x:c r="P2" s="9" t="str">
        <x:v>UpdatedAt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Trip Days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9" t="str">
        <x:v>TripDayID</x:v>
      </x:c>
      <x:c r="B2" s="9" t="str">
        <x:v>TripID</x:v>
      </x:c>
      <x:c r="C2" s="9" t="str">
        <x:v>Date</x:v>
      </x:c>
      <x:c r="D2" s="9" t="str">
        <x:v>Theme</x:v>
      </x:c>
      <x:c r="E2" s="9" t="str">
        <x:v>Status</x:v>
      </x:c>
      <x:c r="F2" s="9" t="str">
        <x:v>PlannedSteps</x:v>
      </x:c>
      <x:c r="G2" s="9" t="str">
        <x:v>PlannedDistanceKm</x:v>
      </x:c>
      <x:c r="H2" s="9" t="str">
        <x:v>RainPlan</x:v>
      </x:c>
      <x:c r="I2" s="9" t="str">
        <x:v>FatiguePlan</x:v>
      </x:c>
      <x:c r="J2" s="9" t="str">
        <x:v>Notes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30" customHeight="1">
      <x:c r="A1" s="3" t="str">
        <x:v>Itinerary Items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9" t="str">
        <x:v>ItemID</x:v>
      </x:c>
      <x:c r="B2" s="9" t="str">
        <x:v>TripDayID</x:v>
      </x:c>
      <x:c r="C2" s="9" t="str">
        <x:v>Sequence</x:v>
      </x:c>
      <x:c r="D2" s="9" t="str">
        <x:v>StartTime</x:v>
      </x:c>
      <x:c r="E2" s="9" t="str">
        <x:v>EndTime</x:v>
      </x:c>
      <x:c r="F2" s="9" t="str">
        <x:v>PlaceID</x:v>
      </x:c>
      <x:c r="G2" s="9" t="str">
        <x:v>EventID</x:v>
      </x:c>
      <x:c r="H2" s="9" t="str">
        <x:v>ActivityType</x:v>
      </x:c>
      <x:c r="I2" s="9" t="str">
        <x:v>Title</x:v>
      </x:c>
      <x:c r="J2" s="9" t="str">
        <x:v>Address</x:v>
      </x:c>
      <x:c r="K2" s="9" t="str">
        <x:v>Latitude</x:v>
      </x:c>
      <x:c r="L2" s="9" t="str">
        <x:v>Longitude</x:v>
      </x:c>
      <x:c r="M2" s="9" t="str">
        <x:v>TravelMinutesFromPrevious</x:v>
      </x:c>
      <x:c r="N2" s="9" t="str">
        <x:v>Status</x:v>
      </x:c>
      <x:c r="O2" s="9" t="str">
        <x:v>BookingRef</x:v>
      </x:c>
      <x:c r="P2" s="9" t="str">
        <x:v>SourceURL</x:v>
      </x:c>
      <x:c r="Q2" s="9" t="str">
        <x:v>Notes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</x:sheetData>
  <x:mergeCells>
    <x:mergeCell ref="A1:Q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0" customHeight="1">
      <x:c r="A1" s="3" t="str">
        <x:v>Routes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9" t="str">
        <x:v>RouteID</x:v>
      </x:c>
      <x:c r="B2" s="9" t="str">
        <x:v>Title</x:v>
      </x:c>
      <x:c r="C2" s="9" t="str">
        <x:v>RouteType</x:v>
      </x:c>
      <x:c r="D2" s="9" t="str">
        <x:v>City</x:v>
      </x:c>
      <x:c r="E2" s="9" t="str">
        <x:v>StartName</x:v>
      </x:c>
      <x:c r="F2" s="9" t="str">
        <x:v>EndName</x:v>
      </x:c>
      <x:c r="G2" s="9" t="str">
        <x:v>DistanceKm</x:v>
      </x:c>
      <x:c r="H2" s="9" t="str">
        <x:v>DurationMin</x:v>
      </x:c>
      <x:c r="I2" s="9" t="str">
        <x:v>PaceKmh</x:v>
      </x:c>
      <x:c r="J2" s="9" t="str">
        <x:v>Difficulty</x:v>
      </x:c>
      <x:c r="K2" s="9" t="str">
        <x:v>Mode</x:v>
      </x:c>
      <x:c r="L2" s="9" t="str">
        <x:v>Status</x:v>
      </x:c>
      <x:c r="M2" s="9" t="str">
        <x:v>TripID</x:v>
      </x:c>
      <x:c r="N2" s="9" t="str">
        <x:v>MapURL</x:v>
      </x:c>
      <x:c r="O2" s="9" t="str">
        <x:v>GPXURL</x:v>
      </x:c>
      <x:c r="P2" s="9" t="str">
        <x:v>KMLURL</x:v>
      </x:c>
      <x:c r="Q2" s="9" t="str">
        <x:v>PDFURL</x:v>
      </x:c>
      <x:c r="R2" s="9" t="str">
        <x:v>NoveltyPercent</x:v>
      </x:c>
      <x:c r="S2" s="9" t="str">
        <x:v>RiskLevel</x:v>
      </x:c>
      <x:c r="T2" s="9" t="str">
        <x:v>SourceSummary</x:v>
      </x:c>
      <x:c r="U2" s="9" t="str">
        <x:v>CreatedAt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</x:row>
  </x:sheetData>
  <x:mergeCells>
    <x:mergeCell ref="A1:U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Route Points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9" t="str">
        <x:v>RoutePointID</x:v>
      </x:c>
      <x:c r="B2" s="9" t="str">
        <x:v>RouteID</x:v>
      </x:c>
      <x:c r="C2" s="9" t="str">
        <x:v>Sequence</x:v>
      </x:c>
      <x:c r="D2" s="9" t="str">
        <x:v>Name</x:v>
      </x:c>
      <x:c r="E2" s="9" t="str">
        <x:v>Latitude</x:v>
      </x:c>
      <x:c r="F2" s="9" t="str">
        <x:v>Longitude</x:v>
      </x:c>
      <x:c r="G2" s="9" t="str">
        <x:v>PointType</x:v>
      </x:c>
      <x:c r="H2" s="9" t="str">
        <x:v>PlaceID</x:v>
      </x:c>
      <x:c r="I2" s="9" t="str">
        <x:v>StopMinutes</x:v>
      </x:c>
      <x:c r="J2" s="9" t="str">
        <x:v>Notes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</x:sheetData>
  <x:mergeCells>
    <x:mergeCell ref="A1:J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3" t="str">
        <x:v>Events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9" t="str">
        <x:v>EventID</x:v>
      </x:c>
      <x:c r="B2" s="9" t="str">
        <x:v>Title</x:v>
      </x:c>
      <x:c r="C2" s="9" t="str">
        <x:v>City</x:v>
      </x:c>
      <x:c r="D2" s="9" t="str">
        <x:v>Venue</x:v>
      </x:c>
      <x:c r="E2" s="9" t="str">
        <x:v>StartAt</x:v>
      </x:c>
      <x:c r="F2" s="9" t="str">
        <x:v>EndAt</x:v>
      </x:c>
      <x:c r="G2" s="9" t="str">
        <x:v>Price</x:v>
      </x:c>
      <x:c r="H2" s="9" t="str">
        <x:v>Status</x:v>
      </x:c>
      <x:c r="I2" s="9" t="str">
        <x:v>SourceURL</x:v>
      </x:c>
      <x:c r="J2" s="9" t="str">
        <x:v>LastCheckedAt</x:v>
      </x:c>
      <x:c r="K2" s="9" t="str">
        <x:v>Confidence</x:v>
      </x:c>
      <x:c r="L2" s="9" t="str">
        <x:v>TripID</x:v>
      </x:c>
      <x:c r="M2" s="9" t="str">
        <x:v>Notes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</x:sheetData>
  <x:mergeCells>
    <x:mergeCell ref="A1:M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City Rules</x:v>
      </x:c>
      <x:c r="B1" s="3"/>
      <x:c r="C1" s="3"/>
      <x:c r="D1" s="3"/>
      <x:c r="E1" s="3"/>
      <x:c r="F1" s="3"/>
      <x:c r="G1" s="3"/>
    </x:row>
    <x:row r="2">
      <x:c r="A2" s="9" t="str">
        <x:v>RuleID</x:v>
      </x:c>
      <x:c r="B2" s="9" t="str">
        <x:v>Scope</x:v>
      </x:c>
      <x:c r="C2" s="9" t="str">
        <x:v>Rule</x:v>
      </x:c>
      <x:c r="D2" s="9" t="str">
        <x:v>Priority</x:v>
      </x:c>
      <x:c r="E2" s="9" t="str">
        <x:v>Active</x:v>
      </x:c>
      <x:c r="F2" s="9" t="str">
        <x:v>Source</x:v>
      </x:c>
      <x:c r="G2" s="9" t="str">
        <x:v>CreatedAt</x:v>
      </x:c>
    </x:row>
    <x:row r="3">
      <x:c r="A3" s="14" t="str">
        <x:v>RUL-1</x:v>
      </x:c>
      <x:c r="B3" s="14" t="str">
        <x:v>global</x:v>
      </x:c>
      <x:c r="C3" s="14" t="str">
        <x:v>Не рекомендовать закрытые места без повторной проверки</x:v>
      </x:c>
      <x:c r="D3" s="14" t="n">
        <x:v>100</x:v>
      </x:c>
      <x:c r="E3" s="18" t="b">
        <x:v>1</x:v>
      </x:c>
      <x:c r="F3" s="14" t="str">
        <x:v>user</x:v>
      </x:c>
      <x:c r="G3" s="14" t="str"/>
    </x:row>
    <x:row r="4">
      <x:c r="A4" s="14" t="str">
        <x:v>RUL-2</x:v>
      </x:c>
      <x:c r="B4" s="14" t="str">
        <x:v>travel</x:v>
      </x:c>
      <x:c r="C4" s="14" t="str">
        <x:v>В поездках избегать сетей, доступных в Москве</x:v>
      </x:c>
      <x:c r="D4" s="14" t="n">
        <x:v>80</x:v>
      </x:c>
      <x:c r="E4" s="18" t="b">
        <x:v>1</x:v>
      </x:c>
      <x:c r="F4" s="14" t="str">
        <x:v>user</x:v>
      </x:c>
      <x:c r="G4" s="14" t="str"/>
    </x:row>
    <x:row r="5">
      <x:c r="A5" s="14" t="str">
        <x:v>RUL-3</x:v>
      </x:c>
      <x:c r="B5" s="14" t="str">
        <x:v>solo</x:v>
      </x:c>
      <x:c r="C5" s="14" t="str">
        <x:v>Не предлагать дорогой ресторан одному без причины</x:v>
      </x:c>
      <x:c r="D5" s="14" t="n">
        <x:v>80</x:v>
      </x:c>
      <x:c r="E5" s="18" t="b">
        <x:v>1</x:v>
      </x:c>
      <x:c r="F5" s="14" t="str">
        <x:v>user</x:v>
      </x:c>
      <x:c r="G5" s="14" t="str"/>
    </x:row>
    <x:row r="6">
      <x:c r="A6" s="14" t="str">
        <x:v>RUL-4</x:v>
      </x:c>
      <x:c r="B6" s="14" t="str">
        <x:v>history</x:v>
      </x:c>
      <x:c r="C6" s="14" t="str">
        <x:v>Разделять факт, книжное место и гипотезу</x:v>
      </x:c>
      <x:c r="D6" s="14" t="n">
        <x:v>100</x:v>
      </x:c>
      <x:c r="E6" s="18" t="b">
        <x:v>1</x:v>
      </x:c>
      <x:c r="F6" s="14" t="str">
        <x:v>user</x:v>
      </x:c>
      <x:c r="G6" s="14" t="str"/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Trip Journal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9" t="str">
        <x:v>JournalID</x:v>
      </x:c>
      <x:c r="B2" s="9" t="str">
        <x:v>TripID</x:v>
      </x:c>
      <x:c r="C2" s="9" t="str">
        <x:v>Date</x:v>
      </x:c>
      <x:c r="D2" s="9" t="str">
        <x:v>BestMoment</x:v>
      </x:c>
      <x:c r="E2" s="9" t="str">
        <x:v>Overrated</x:v>
      </x:c>
      <x:c r="F2" s="9" t="str">
        <x:v>Missed</x:v>
      </x:c>
      <x:c r="G2" s="9" t="str">
        <x:v>WouldRepeat</x:v>
      </x:c>
      <x:c r="H2" s="9" t="str">
        <x:v>ActualSteps</x:v>
      </x:c>
      <x:c r="I2" s="9" t="str">
        <x:v>ActualDistanceKm</x:v>
      </x:c>
      <x:c r="J2" s="9" t="str">
        <x:v>Notes</x:v>
      </x:c>
      <x:c r="K2" s="9" t="str">
        <x:v>CreatedAt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3" t="str">
        <x:v>Maturity Test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9" t="str">
        <x:v>TestID</x:v>
      </x:c>
      <x:c r="B2" s="9" t="str">
        <x:v>CapabilityID</x:v>
      </x:c>
      <x:c r="C2" s="9" t="str">
        <x:v>TestDate</x:v>
      </x:c>
      <x:c r="D2" s="9" t="str">
        <x:v>Scenario</x:v>
      </x:c>
      <x:c r="E2" s="9" t="str">
        <x:v>Outcome</x:v>
      </x:c>
      <x:c r="F2" s="9" t="str">
        <x:v>AccuracyRating</x:v>
      </x:c>
      <x:c r="G2" s="9" t="str">
        <x:v>FreshnessRating</x:v>
      </x:c>
      <x:c r="H2" s="9" t="str">
        <x:v>PracticalRating</x:v>
      </x:c>
      <x:c r="I2" s="9" t="str">
        <x:v>CriticalIssue</x:v>
      </x:c>
      <x:c r="J2" s="9" t="str">
        <x:v>IssueSummary</x:v>
      </x:c>
      <x:c r="K2" s="9" t="str">
        <x:v>Notes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Search History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9" t="str">
        <x:v>SearchID</x:v>
      </x:c>
      <x:c r="B2" s="9" t="str">
        <x:v>SearchedAt</x:v>
      </x:c>
      <x:c r="C2" s="9" t="str">
        <x:v>Query</x:v>
      </x:c>
      <x:c r="D2" s="9" t="str">
        <x:v>City</x:v>
      </x:c>
      <x:c r="E2" s="9" t="str">
        <x:v>Context</x:v>
      </x:c>
      <x:c r="F2" s="9" t="str">
        <x:v>CandidatesCount</x:v>
      </x:c>
      <x:c r="G2" s="9" t="str">
        <x:v>SelectedPlaceID</x:v>
      </x:c>
      <x:c r="H2" s="9" t="str">
        <x:v>RejectedReason</x:v>
      </x:c>
      <x:c r="I2" s="9" t="str">
        <x:v>Sources</x:v>
      </x:c>
      <x:c r="J2" s="9" t="str">
        <x:v>Notes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3" t="str">
        <x:v>Write Log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9" t="str">
        <x:v>AuditID</x:v>
      </x:c>
      <x:c r="B2" s="9" t="str">
        <x:v>PreviewID</x:v>
      </x:c>
      <x:c r="C2" s="9" t="str">
        <x:v>Capability</x:v>
      </x:c>
      <x:c r="D2" s="9" t="str">
        <x:v>EntityType</x:v>
      </x:c>
      <x:c r="E2" s="9" t="str">
        <x:v>EntityID</x:v>
      </x:c>
      <x:c r="F2" s="9" t="str">
        <x:v>Action</x:v>
      </x:c>
      <x:c r="G2" s="9" t="str">
        <x:v>CommittedAt</x:v>
      </x:c>
      <x:c r="H2" s="9" t="str">
        <x:v>Digest</x:v>
      </x:c>
      <x:c r="I2" s="9" t="str">
        <x:v>Summary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Data Quality</x:v>
      </x:c>
      <x:c r="B1" s="3"/>
      <x:c r="C1" s="3"/>
      <x:c r="D1" s="3"/>
      <x:c r="E1" s="3"/>
      <x:c r="F1" s="3"/>
      <x:c r="G1" s="3"/>
      <x:c r="H1" s="3"/>
    </x:row>
    <x:row r="2">
      <x:c r="A2" s="9" t="str">
        <x:v>IssueID</x:v>
      </x:c>
      <x:c r="B2" s="9" t="str">
        <x:v>Severity</x:v>
      </x:c>
      <x:c r="C2" s="9" t="str">
        <x:v>EntityType</x:v>
      </x:c>
      <x:c r="D2" s="9" t="str">
        <x:v>EntityID</x:v>
      </x:c>
      <x:c r="E2" s="9" t="str">
        <x:v>Issue</x:v>
      </x:c>
      <x:c r="F2" s="9" t="str">
        <x:v>Status</x:v>
      </x:c>
      <x:c r="G2" s="9" t="str">
        <x:v>DetectedAt</x:v>
      </x:c>
      <x:c r="H2" s="9" t="str">
        <x:v>ResolvedAt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3" t="str">
        <x:v>City Config</x:v>
      </x:c>
      <x:c r="B1" s="3"/>
      <x:c r="C1" s="3"/>
      <x:c r="D1" s="3"/>
    </x:row>
    <x:row r="2">
      <x:c r="A2" s="9" t="str">
        <x:v>Key</x:v>
      </x:c>
      <x:c r="B2" s="9" t="str">
        <x:v>Value</x:v>
      </x:c>
      <x:c r="C2" s="9" t="str">
        <x:v>Description</x:v>
      </x:c>
      <x:c r="D2" s="9" t="str">
        <x:v>UpdatedAt</x:v>
      </x:c>
    </x:row>
    <x:row r="3">
      <x:c r="A3" s="14" t="str">
        <x:v>schema_version</x:v>
      </x:c>
      <x:c r="B3" s="14" t="str">
        <x:v>1.0.0</x:v>
      </x:c>
      <x:c r="C3" s="14" t="str">
        <x:v>Версия схемы</x:v>
      </x:c>
      <x:c r="D3" s="14" t="str"/>
    </x:row>
    <x:row r="4">
      <x:c r="A4" s="14" t="str">
        <x:v>contract_version</x:v>
      </x:c>
      <x:c r="B4" s="14" t="str">
        <x:v>0.1.0</x:v>
      </x:c>
      <x:c r="C4" s="14" t="str">
        <x:v>Jarvis Plugin Contract</x:v>
      </x:c>
      <x:c r="D4" s="14" t="str"/>
    </x:row>
    <x:row r="5">
      <x:c r="A5" s="14" t="str">
        <x:v>home_city</x:v>
      </x:c>
      <x:c r="B5" s="14" t="str">
        <x:v>Москва</x:v>
      </x:c>
      <x:c r="C5" s="14" t="str">
        <x:v>Домашний город</x:v>
      </x:c>
      <x:c r="D5" s="14" t="str"/>
    </x:row>
    <x:row r="6">
      <x:c r="A6" s="14" t="str">
        <x:v>default_map_provider</x:v>
      </x:c>
      <x:c r="B6" s="14" t="str">
        <x:v>yandex</x:v>
      </x:c>
      <x:c r="C6" s="14" t="str">
        <x:v>Основная карта; GPX/KML универсальны</x:v>
      </x:c>
      <x:c r="D6" s="14" t="str"/>
    </x:row>
    <x:row r="7">
      <x:c r="A7" s="14" t="str">
        <x:v>participants</x:v>
      </x:c>
      <x:c r="B7" s="14" t="str">
        <x:v>Andrew, Katya</x:v>
      </x:c>
      <x:c r="C7" s="14" t="str">
        <x:v>Отдельные оценки</x:v>
      </x:c>
      <x:c r="D7" s="14" t="str"/>
    </x:row>
    <x:row r="8">
      <x:c r="A8" s="14" t="str">
        <x:v>writes_policy</x:v>
      </x:c>
      <x:c r="B8" s="14" t="str">
        <x:v>preview_confirm_commit</x:v>
      </x:c>
      <x:c r="C8" s="14" t="str">
        <x:v>Запись только после подтверждения</x:v>
      </x:c>
      <x:c r="D8" s="14" t="str"/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Зрелость функций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9" t="str">
        <x:v>CapabilityID</x:v>
      </x:c>
      <x:c r="B2" s="9" t="str">
        <x:v>Title</x:v>
      </x:c>
      <x:c r="C2" s="9" t="str">
        <x:v>Level</x:v>
      </x:c>
      <x:c r="D2" s="9" t="str">
        <x:v>RealTests</x:v>
      </x:c>
      <x:c r="E2" s="9" t="str">
        <x:v>SuccessfulTests</x:v>
      </x:c>
      <x:c r="F2" s="9" t="str">
        <x:v>CriticalIssues</x:v>
      </x:c>
      <x:c r="G2" s="9" t="str">
        <x:v>KnownIssues</x:v>
      </x:c>
      <x:c r="H2" s="9" t="str">
        <x:v>AvgAccuracy</x:v>
      </x:c>
      <x:c r="I2" s="9" t="str">
        <x:v>AvgPracticalRating</x:v>
      </x:c>
      <x:c r="J2" s="9" t="str">
        <x:v>LastValidatedAt</x:v>
      </x:c>
      <x:c r="K2" s="9" t="str">
        <x:v>PromotionRecommendation</x:v>
      </x:c>
      <x:c r="L2" s="9" t="str">
        <x:v>Notes</x:v>
      </x:c>
    </x:row>
    <x:row r="3">
      <x:c r="A3" s="14" t="str">
        <x:v>city.cockpit</x:v>
      </x:c>
      <x:c r="B3" s="14" t="str">
        <x:v>City cockpit</x:v>
      </x:c>
      <x:c r="C3" s="14" t="str">
        <x:v>STABLE</x:v>
      </x:c>
      <x:c r="D3" s="14" t="n">
        <x:v>0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0</x:v>
      </x:c>
      <x:c r="J3" s="14" t="str"/>
      <x:c r="K3" s="14" t="str">
        <x:v>STABLE</x:v>
      </x:c>
      <x:c r="L3" s="14" t="str">
        <x:v>Initial v1.0.0</x:v>
      </x:c>
    </x:row>
    <x:row r="4">
      <x:c r="A4" s="14" t="str">
        <x:v>city.place.search</x:v>
      </x:c>
      <x:c r="B4" s="14" t="str">
        <x:v>Live Place Search</x:v>
      </x:c>
      <x:c r="C4" s="14" t="str">
        <x:v>STABLE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14" t="n">
        <x:v>0</x:v>
      </x:c>
      <x:c r="J4" s="14" t="str"/>
      <x:c r="K4" s="14" t="str">
        <x:v>STABLE</x:v>
      </x:c>
      <x:c r="L4" s="14" t="str">
        <x:v>Initial v1.0.0</x:v>
      </x:c>
    </x:row>
    <x:row r="5">
      <x:c r="A5" s="14" t="str">
        <x:v>city.place.list</x:v>
      </x:c>
      <x:c r="B5" s="14" t="str">
        <x:v>Place Memory</x:v>
      </x:c>
      <x:c r="C5" s="14" t="str">
        <x:v>STABLE</x:v>
      </x:c>
      <x:c r="D5" s="14" t="n">
        <x:v>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str"/>
      <x:c r="K5" s="14" t="str">
        <x:v>STABLE</x:v>
      </x:c>
      <x:c r="L5" s="14" t="str">
        <x:v>Initial v1.0.0</x:v>
      </x:c>
    </x:row>
    <x:row r="6">
      <x:c r="A6" s="14" t="str">
        <x:v>city.experience.summary</x:v>
      </x:c>
      <x:c r="B6" s="14" t="str">
        <x:v>Experience Ratings</x:v>
      </x:c>
      <x:c r="C6" s="14" t="str">
        <x:v>STABLE</x:v>
      </x:c>
      <x:c r="D6" s="14" t="n">
        <x:v>0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str"/>
      <x:c r="K6" s="14" t="str">
        <x:v>STABLE</x:v>
      </x:c>
      <x:c r="L6" s="14" t="str">
        <x:v>Initial v1.0.0</x:v>
      </x:c>
    </x:row>
    <x:row r="7">
      <x:c r="A7" s="14" t="str">
        <x:v>city.trip.plan</x:v>
      </x:c>
      <x:c r="B7" s="14" t="str">
        <x:v>Trip Planner</x:v>
      </x:c>
      <x:c r="C7" s="14" t="str">
        <x:v>STABLE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str"/>
      <x:c r="K7" s="14" t="str">
        <x:v>STABLE</x:v>
      </x:c>
      <x:c r="L7" s="14" t="str">
        <x:v>Initial v1.0.0</x:v>
      </x:c>
    </x:row>
    <x:row r="8">
      <x:c r="A8" s="14" t="str">
        <x:v>city.trip.get</x:v>
      </x:c>
      <x:c r="B8" s="14" t="str">
        <x:v>Saved Trip Read</x:v>
      </x:c>
      <x:c r="C8" s="14" t="str">
        <x:v>STABLE</x:v>
      </x:c>
      <x:c r="D8" s="14" t="n">
        <x:v>0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str"/>
      <x:c r="K8" s="14" t="str">
        <x:v>STABLE</x:v>
      </x:c>
      <x:c r="L8" s="14" t="str">
        <x:v>Initial v1.0.0</x:v>
      </x:c>
    </x:row>
    <x:row r="9">
      <x:c r="A9" s="14" t="str">
        <x:v>city.trip.next</x:v>
      </x:c>
      <x:c r="B9" s="14" t="str">
        <x:v>What Next</x:v>
      </x:c>
      <x:c r="C9" s="14" t="str">
        <x:v>STABLE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str"/>
      <x:c r="K9" s="14" t="str">
        <x:v>STABLE</x:v>
      </x:c>
      <x:c r="L9" s="14" t="str">
        <x:v>Initial v1.0.0</x:v>
      </x:c>
    </x:row>
    <x:row r="10">
      <x:c r="A10" s="14" t="str">
        <x:v>city.route.walking</x:v>
      </x:c>
      <x:c r="B10" s="14" t="str">
        <x:v>Walking Routes</x:v>
      </x:c>
      <x:c r="C10" s="14" t="str">
        <x:v>BETA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str"/>
      <x:c r="K10" s="14" t="str">
        <x:v>BETA</x:v>
      </x:c>
      <x:c r="L10" s="14" t="str">
        <x:v>Initial v1.0.0</x:v>
      </x:c>
    </x:row>
    <x:row r="11">
      <x:c r="A11" s="14" t="str">
        <x:v>city.route.cycling</x:v>
      </x:c>
      <x:c r="B11" s="14" t="str">
        <x:v>Cycling Mode</x:v>
      </x:c>
      <x:c r="C11" s="14" t="str">
        <x:v>BETA</x:v>
      </x:c>
      <x:c r="D11" s="14" t="n">
        <x:v>0</x:v>
      </x:c>
      <x:c r="E11" s="14" t="n">
        <x:v>0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str"/>
      <x:c r="K11" s="14" t="str">
        <x:v>BETA</x:v>
      </x:c>
      <x:c r="L11" s="14" t="str">
        <x:v>Initial v1.0.0</x:v>
      </x:c>
    </x:row>
    <x:row r="12">
      <x:c r="A12" s="14" t="str">
        <x:v>city.route.photowalk</x:v>
      </x:c>
      <x:c r="B12" s="14" t="str">
        <x:v>Photowalk</x:v>
      </x:c>
      <x:c r="C12" s="14" t="str">
        <x:v>BETA</x:v>
      </x:c>
      <x:c r="D12" s="14" t="n">
        <x:v>0</x:v>
      </x:c>
      <x:c r="E12" s="14" t="n">
        <x:v>0</x:v>
      </x:c>
      <x:c r="F12" s="14" t="n">
        <x:v>0</x:v>
      </x:c>
      <x:c r="G12" s="14" t="n">
        <x:v>0</x:v>
      </x:c>
      <x:c r="H12" s="14" t="n">
        <x:v>0</x:v>
      </x:c>
      <x:c r="I12" s="14" t="n">
        <x:v>0</x:v>
      </x:c>
      <x:c r="J12" s="14" t="str"/>
      <x:c r="K12" s="14" t="str">
        <x:v>BETA</x:v>
      </x:c>
      <x:c r="L12" s="14" t="str">
        <x:v>Initial v1.0.0</x:v>
      </x:c>
    </x:row>
    <x:row r="13">
      <x:c r="A13" s="14" t="str">
        <x:v>city.route.literary</x:v>
      </x:c>
      <x:c r="B13" s="14" t="str">
        <x:v>Literary &amp; Historical</x:v>
      </x:c>
      <x:c r="C13" s="14" t="str">
        <x:v>BETA</x:v>
      </x:c>
      <x:c r="D13" s="14" t="n">
        <x:v>0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4" t="n">
        <x:v>0</x:v>
      </x:c>
      <x:c r="J13" s="14" t="str"/>
      <x:c r="K13" s="14" t="str">
        <x:v>BETA</x:v>
      </x:c>
      <x:c r="L13" s="14" t="str">
        <x:v>Initial v1.0.0</x:v>
      </x:c>
    </x:row>
    <x:row r="14">
      <x:c r="A14" s="14" t="str">
        <x:v>city.route.get</x:v>
      </x:c>
      <x:c r="B14" s="14" t="str">
        <x:v>Saved Route Read</x:v>
      </x:c>
      <x:c r="C14" s="14" t="str">
        <x:v>STABLE</x:v>
      </x:c>
      <x:c r="D14" s="14" t="n">
        <x:v>0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0</x:v>
      </x:c>
      <x:c r="J14" s="14" t="str"/>
      <x:c r="K14" s="14" t="str">
        <x:v>STABLE</x:v>
      </x:c>
      <x:c r="L14" s="14" t="str">
        <x:v>Initial v1.0.0</x:v>
      </x:c>
    </x:row>
    <x:row r="15">
      <x:c r="A15" s="14" t="str">
        <x:v>city.event.rank</x:v>
      </x:c>
      <x:c r="B15" s="14" t="str">
        <x:v>Events Discovery</x:v>
      </x:c>
      <x:c r="C15" s="14" t="str">
        <x:v>ADVISORY</x:v>
      </x:c>
      <x:c r="D15" s="14" t="n">
        <x:v>0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14" t="n">
        <x:v>0</x:v>
      </x:c>
      <x:c r="J15" s="14" t="str"/>
      <x:c r="K15" s="14" t="str">
        <x:v>ADVISORY</x:v>
      </x:c>
      <x:c r="L15" s="14" t="str">
        <x:v>Initial v1.0.0</x:v>
      </x:c>
    </x:row>
    <x:row r="16">
      <x:c r="A16" s="14" t="str">
        <x:v>city.area.compare</x:v>
      </x:c>
      <x:c r="B16" s="14" t="str">
        <x:v>Stay Area Advisor</x:v>
      </x:c>
      <x:c r="C16" s="14" t="str">
        <x:v>BETA</x:v>
      </x:c>
      <x:c r="D16" s="14" t="n">
        <x:v>0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0</x:v>
      </x:c>
      <x:c r="J16" s="14" t="str"/>
      <x:c r="K16" s="14" t="str">
        <x:v>BETA</x:v>
      </x:c>
      <x:c r="L16" s="14" t="str">
        <x:v>Initial v1.0.0</x:v>
      </x:c>
    </x:row>
    <x:row r="17">
      <x:c r="A17" s="14" t="str">
        <x:v>city.weather.adapt</x:v>
      </x:c>
      <x:c r="B17" s="14" t="str">
        <x:v>Weather Resilience</x:v>
      </x:c>
      <x:c r="C17" s="14" t="str">
        <x:v>ADVISORY</x:v>
      </x:c>
      <x:c r="D17" s="14" t="n">
        <x:v>0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0</x:v>
      </x:c>
      <x:c r="J17" s="14" t="str"/>
      <x:c r="K17" s="14" t="str">
        <x:v>ADVISORY</x:v>
      </x:c>
      <x:c r="L17" s="14" t="str">
        <x:v>Initial v1.0.0</x:v>
      </x:c>
    </x:row>
    <x:row r="18">
      <x:c r="A18" s="14" t="str">
        <x:v>city.logistics.departure</x:v>
      </x:c>
      <x:c r="B18" s="14" t="str">
        <x:v>Transport &amp; Logistics</x:v>
      </x:c>
      <x:c r="C18" s="14" t="str">
        <x:v>BETA</x:v>
      </x:c>
      <x:c r="D18" s="14" t="n">
        <x:v>0</x:v>
      </x:c>
      <x:c r="E18" s="14" t="n">
        <x:v>0</x:v>
      </x:c>
      <x:c r="F18" s="14" t="n">
        <x:v>0</x:v>
      </x:c>
      <x:c r="G18" s="14" t="n">
        <x:v>0</x:v>
      </x:c>
      <x:c r="H18" s="14" t="n">
        <x:v>0</x:v>
      </x:c>
      <x:c r="I18" s="14" t="n">
        <x:v>0</x:v>
      </x:c>
      <x:c r="J18" s="14" t="str"/>
      <x:c r="K18" s="14" t="str">
        <x:v>BETA</x:v>
      </x:c>
      <x:c r="L18" s="14" t="str">
        <x:v>Initial v1.0.0</x:v>
      </x:c>
    </x:row>
    <x:row r="19">
      <x:c r="A19" s="14" t="str">
        <x:v>city.maturity.status</x:v>
      </x:c>
      <x:c r="B19" s="14" t="str">
        <x:v>Capability Maturity</x:v>
      </x:c>
      <x:c r="C19" s="14" t="str">
        <x:v>STABLE</x:v>
      </x:c>
      <x:c r="D19" s="14" t="n">
        <x:v>0</x:v>
      </x:c>
      <x:c r="E19" s="14" t="n">
        <x:v>0</x:v>
      </x:c>
      <x:c r="F19" s="14" t="n">
        <x:v>0</x:v>
      </x:c>
      <x:c r="G19" s="14" t="n">
        <x:v>0</x:v>
      </x:c>
      <x:c r="H19" s="14" t="n">
        <x:v>0</x:v>
      </x:c>
      <x:c r="I19" s="14" t="n">
        <x:v>0</x:v>
      </x:c>
      <x:c r="J19" s="14" t="str"/>
      <x:c r="K19" s="14" t="str">
        <x:v>STABLE</x:v>
      </x:c>
      <x:c r="L19" s="14" t="str">
        <x:v>Initial v1.0.0</x:v>
      </x:c>
    </x:row>
    <x:row r="20">
      <x:c r="A20" s="14" t="str">
        <x:v>city.place.save</x:v>
      </x:c>
      <x:c r="B20" s="14" t="str">
        <x:v>Save Place</x:v>
      </x:c>
      <x:c r="C20" s="14" t="str">
        <x:v>STABLE</x:v>
      </x:c>
      <x:c r="D20" s="14" t="n">
        <x:v>0</x:v>
      </x:c>
      <x:c r="E20" s="14" t="n">
        <x:v>0</x:v>
      </x:c>
      <x:c r="F20" s="14" t="n">
        <x:v>0</x:v>
      </x:c>
      <x:c r="G20" s="14" t="n">
        <x:v>0</x:v>
      </x:c>
      <x:c r="H20" s="14" t="n">
        <x:v>0</x:v>
      </x:c>
      <x:c r="I20" s="14" t="n">
        <x:v>0</x:v>
      </x:c>
      <x:c r="J20" s="14" t="str"/>
      <x:c r="K20" s="14" t="str">
        <x:v>STABLE</x:v>
      </x:c>
      <x:c r="L20" s="14" t="str">
        <x:v>Initial v1.0.0</x:v>
      </x:c>
    </x:row>
    <x:row r="21">
      <x:c r="A21" s="14" t="str">
        <x:v>city.place.status</x:v>
      </x:c>
      <x:c r="B21" s="14" t="str">
        <x:v>Place Status</x:v>
      </x:c>
      <x:c r="C21" s="14" t="str">
        <x:v>STABLE</x:v>
      </x:c>
      <x:c r="D21" s="14" t="n">
        <x:v>0</x:v>
      </x:c>
      <x:c r="E21" s="14" t="n">
        <x:v>0</x:v>
      </x:c>
      <x:c r="F21" s="14" t="n">
        <x:v>0</x:v>
      </x:c>
      <x:c r="G21" s="14" t="n">
        <x:v>0</x:v>
      </x:c>
      <x:c r="H21" s="14" t="n">
        <x:v>0</x:v>
      </x:c>
      <x:c r="I21" s="14" t="n">
        <x:v>0</x:v>
      </x:c>
      <x:c r="J21" s="14" t="str"/>
      <x:c r="K21" s="14" t="str">
        <x:v>STABLE</x:v>
      </x:c>
      <x:c r="L21" s="14" t="str">
        <x:v>Initial v1.0.0</x:v>
      </x:c>
    </x:row>
    <x:row r="22">
      <x:c r="A22" s="14" t="str">
        <x:v>city.place.preference</x:v>
      </x:c>
      <x:c r="B22" s="14" t="str">
        <x:v>Place Signals</x:v>
      </x:c>
      <x:c r="C22" s="14" t="str">
        <x:v>STABLE</x:v>
      </x:c>
      <x:c r="D22" s="14" t="n">
        <x:v>0</x:v>
      </x:c>
      <x:c r="E22" s="14" t="n">
        <x:v>0</x:v>
      </x:c>
      <x:c r="F22" s="14" t="n">
        <x:v>0</x:v>
      </x:c>
      <x:c r="G22" s="14" t="n">
        <x:v>0</x:v>
      </x:c>
      <x:c r="H22" s="14" t="n">
        <x:v>0</x:v>
      </x:c>
      <x:c r="I22" s="14" t="n">
        <x:v>0</x:v>
      </x:c>
      <x:c r="J22" s="14" t="str"/>
      <x:c r="K22" s="14" t="str">
        <x:v>STABLE</x:v>
      </x:c>
      <x:c r="L22" s="14" t="str">
        <x:v>Initial v1.0.0</x:v>
      </x:c>
    </x:row>
    <x:row r="23">
      <x:c r="A23" s="14" t="str">
        <x:v>city.experience.record</x:v>
      </x:c>
      <x:c r="B23" s="14" t="str">
        <x:v>Record Experience</x:v>
      </x:c>
      <x:c r="C23" s="14" t="str">
        <x:v>STABLE</x:v>
      </x:c>
      <x:c r="D23" s="14" t="n">
        <x:v>0</x:v>
      </x:c>
      <x:c r="E23" s="14" t="n">
        <x:v>0</x:v>
      </x:c>
      <x:c r="F23" s="14" t="n">
        <x:v>0</x:v>
      </x:c>
      <x:c r="G23" s="14" t="n">
        <x:v>0</x:v>
      </x:c>
      <x:c r="H23" s="14" t="n">
        <x:v>0</x:v>
      </x:c>
      <x:c r="I23" s="14" t="n">
        <x:v>0</x:v>
      </x:c>
      <x:c r="J23" s="14" t="str"/>
      <x:c r="K23" s="14" t="str">
        <x:v>STABLE</x:v>
      </x:c>
      <x:c r="L23" s="14" t="str">
        <x:v>Initial v1.0.0</x:v>
      </x:c>
    </x:row>
    <x:row r="24">
      <x:c r="A24" s="14" t="str">
        <x:v>city.trip.save</x:v>
      </x:c>
      <x:c r="B24" s="14" t="str">
        <x:v>Save Trip</x:v>
      </x:c>
      <x:c r="C24" s="14" t="str">
        <x:v>STABLE</x:v>
      </x:c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0</x:v>
      </x:c>
      <x:c r="I24" s="14" t="n">
        <x:v>0</x:v>
      </x:c>
      <x:c r="J24" s="14" t="str"/>
      <x:c r="K24" s="14" t="str">
        <x:v>STABLE</x:v>
      </x:c>
      <x:c r="L24" s="14" t="str">
        <x:v>Initial v1.0.0</x:v>
      </x:c>
    </x:row>
    <x:row r="25">
      <x:c r="A25" s="14" t="str">
        <x:v>city.trip.update</x:v>
      </x:c>
      <x:c r="B25" s="14" t="str">
        <x:v>Active Trip Replanning</x:v>
      </x:c>
      <x:c r="C25" s="14" t="str">
        <x:v>STABLE</x:v>
      </x:c>
      <x:c r="D25" s="14" t="n">
        <x:v>0</x:v>
      </x:c>
      <x:c r="E25" s="14" t="n">
        <x:v>0</x:v>
      </x:c>
      <x:c r="F25" s="14" t="n">
        <x:v>0</x:v>
      </x:c>
      <x:c r="G25" s="14" t="n">
        <x:v>0</x:v>
      </x:c>
      <x:c r="H25" s="14" t="n">
        <x:v>0</x:v>
      </x:c>
      <x:c r="I25" s="14" t="n">
        <x:v>0</x:v>
      </x:c>
      <x:c r="J25" s="14" t="str"/>
      <x:c r="K25" s="14" t="str">
        <x:v>STABLE</x:v>
      </x:c>
      <x:c r="L25" s="14" t="str">
        <x:v>Initial v1.0.0</x:v>
      </x:c>
    </x:row>
    <x:row r="26">
      <x:c r="A26" s="14" t="str">
        <x:v>city.route.save</x:v>
      </x:c>
      <x:c r="B26" s="14" t="str">
        <x:v>Save Route</x:v>
      </x:c>
      <x:c r="C26" s="14" t="str">
        <x:v>BETA</x:v>
      </x:c>
      <x:c r="D26" s="14" t="n">
        <x:v>0</x:v>
      </x:c>
      <x:c r="E26" s="14" t="n">
        <x:v>0</x:v>
      </x:c>
      <x:c r="F26" s="14" t="n">
        <x:v>0</x:v>
      </x:c>
      <x:c r="G26" s="14" t="n">
        <x:v>0</x:v>
      </x:c>
      <x:c r="H26" s="14" t="n">
        <x:v>0</x:v>
      </x:c>
      <x:c r="I26" s="14" t="n">
        <x:v>0</x:v>
      </x:c>
      <x:c r="J26" s="14" t="str"/>
      <x:c r="K26" s="14" t="str">
        <x:v>BETA</x:v>
      </x:c>
      <x:c r="L26" s="14" t="str">
        <x:v>Initial v1.0.0</x:v>
      </x:c>
    </x:row>
    <x:row r="27">
      <x:c r="A27" s="14" t="str">
        <x:v>city.route.export</x:v>
      </x:c>
      <x:c r="B27" s="14" t="str">
        <x:v>GPX/KML/PDF Exports</x:v>
      </x:c>
      <x:c r="C27" s="14" t="str">
        <x:v>BETA</x:v>
      </x:c>
      <x:c r="D27" s="14" t="n">
        <x:v>0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14" t="n">
        <x:v>0</x:v>
      </x:c>
      <x:c r="J27" s="14" t="str"/>
      <x:c r="K27" s="14" t="str">
        <x:v>BETA</x:v>
      </x:c>
      <x:c r="L27" s="14" t="str">
        <x:v>Initial v1.0.0</x:v>
      </x:c>
    </x:row>
    <x:row r="28">
      <x:c r="A28" s="14" t="str">
        <x:v>city.event.save</x:v>
      </x:c>
      <x:c r="B28" s="14" t="str">
        <x:v>Save Event</x:v>
      </x:c>
      <x:c r="C28" s="14" t="str">
        <x:v>ADVISORY</x:v>
      </x:c>
      <x:c r="D28" s="14" t="n">
        <x:v>0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str"/>
      <x:c r="K28" s="14" t="str">
        <x:v>ADVISORY</x:v>
      </x:c>
      <x:c r="L28" s="14" t="str">
        <x:v>Initial v1.0.0</x:v>
      </x:c>
    </x:row>
    <x:row r="29">
      <x:c r="A29" s="14" t="str">
        <x:v>city.rule.save</x:v>
      </x:c>
      <x:c r="B29" s="14" t="str">
        <x:v>Save Rule</x:v>
      </x:c>
      <x:c r="C29" s="14" t="str">
        <x:v>STABLE</x:v>
      </x:c>
      <x:c r="D29" s="14" t="n">
        <x:v>0</x:v>
      </x:c>
      <x:c r="E29" s="14" t="n">
        <x:v>0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str"/>
      <x:c r="K29" s="14" t="str">
        <x:v>STABLE</x:v>
      </x:c>
      <x:c r="L29" s="14" t="str">
        <x:v>Initial v1.0.0</x:v>
      </x:c>
    </x:row>
    <x:row r="30">
      <x:c r="A30" s="14" t="str">
        <x:v>city.journal.record</x:v>
      </x:c>
      <x:c r="B30" s="14" t="str">
        <x:v>Trip Journal</x:v>
      </x:c>
      <x:c r="C30" s="14" t="str">
        <x:v>BETA</x:v>
      </x:c>
      <x:c r="D30" s="14" t="n">
        <x:v>0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0</x:v>
      </x:c>
      <x:c r="J30" s="14" t="str"/>
      <x:c r="K30" s="14" t="str">
        <x:v>BETA</x:v>
      </x:c>
      <x:c r="L30" s="14" t="str">
        <x:v>Initial v1.0.0</x:v>
      </x:c>
    </x:row>
    <x:row r="31">
      <x:c r="A31" s="14" t="str">
        <x:v>city.maturity.feedback</x:v>
      </x:c>
      <x:c r="B31" s="14" t="str">
        <x:v>Maturity Feedback</x:v>
      </x:c>
      <x:c r="C31" s="14" t="str">
        <x:v>STABLE</x:v>
      </x:c>
      <x:c r="D31" s="14" t="n">
        <x:v>0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str"/>
      <x:c r="K31" s="14" t="str">
        <x:v>STABLE</x:v>
      </x:c>
      <x:c r="L31" s="14" t="str">
        <x:v>Initial v1.0.0</x:v>
      </x:c>
    </x:row>
  </x:sheetData>
  <x:mergeCells>
    <x:mergeCell ref="A1:L1"/>
  </x:mergeCells>
  <x:conditionalFormatting sqref="C3:C100">
    <x:cfRule type="expression" dxfId="0" priority="1">
      <x:formula>C3="STABLE"</x:formula>
    </x:cfRule>
    <x:cfRule type="expression" dxfId="1" priority="2">
      <x:formula>C3="BETA"</x:formula>
    </x:cfRule>
    <x:cfRule type="expression" dxfId="2" priority="3">
      <x:formula>C3="ADVISORY"</x:formula>
    </x:cfRule>
  </x:conditionalFormatting>
  <x:pageMargins left="0.7" right="0.7" top="0.75" bottom="0.75" header="0.3" footer="0.3"/>
</x:worksheet>
</file>